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42431\Desktop\racunalniski-praktikum\10-razpredelnice\"/>
    </mc:Choice>
  </mc:AlternateContent>
  <xr:revisionPtr revIDLastSave="0" documentId="13_ncr:1_{4476CC5B-2540-4169-B5F4-A2E702B30574}" xr6:coauthVersionLast="47" xr6:coauthVersionMax="47" xr10:uidLastSave="{00000000-0000-0000-0000-000000000000}"/>
  <bookViews>
    <workbookView xWindow="-60" yWindow="3075" windowWidth="17970" windowHeight="11295" xr2:uid="{00000000-000D-0000-FFFF-FFFF00000000}"/>
  </bookViews>
  <sheets>
    <sheet name="Rezultati" sheetId="1" r:id="rId1"/>
  </sheets>
  <calcPr calcId="191029"/>
  <pivotCaches>
    <pivotCache cacheId="1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5" i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<sst xmlns="http://schemas.openxmlformats.org/spreadsheetml/2006/main" count="105" uniqueCount="72">
  <si>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</si>
  <si>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</si>
  <si>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</si>
  <si>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</si>
  <si>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</si>
  <si>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</si>
  <si>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</si>
  <si>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</si>
  <si>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</si>
  <si>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</si>
  <si>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</si>
  <si>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</si>
  <si>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</si>
  <si>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</si>
  <si>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</si>
  <si>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</si>
  <si>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</si>
  <si>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</si>
  <si>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</si>
  <si>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</si>
  <si>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</si>
  <si>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</si>
  <si>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</si>
  <si>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</si>
  <si>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</si>
  <si>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</si>
  <si>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</si>
  <si>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</si>
  <si>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</si>
  <si>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</si>
  <si>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</si>
  <si>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</si>
  <si>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</si>
  <si>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</si>
  <si>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</si>
  <si>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</si>
  <si>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</si>
  <si>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</si>
  <si>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</si>
  <si>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</si>
  <si>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</si>
  <si>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</si>
  <si>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</si>
  <si>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</si>
  <si>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</si>
  <si>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</si>
  <si>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</si>
  <si>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</si>
  <si>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</si>
  <si>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</si>
  <si>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</si>
  <si>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</si>
  <si>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</si>
  <si>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</si>
  <si>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</si>
  <si>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</si>
  <si>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</si>
  <si>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</si>
  <si>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</si>
  <si>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</si>
  <si>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</si>
  <si>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</si>
  <si>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</si>
  <si>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</si>
  <si>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</si>
  <si>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</si>
  <si>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</si>
  <si>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Grand Total</t>
  </si>
  <si>
    <t>Average of Točke</t>
  </si>
  <si>
    <t>Count of Skupina</t>
  </si>
  <si>
    <t>Max of Točke</t>
  </si>
  <si>
    <t>Min of Točke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</si>
</sst>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€&quot;_ ;_ * \(#,##0.00\)\ &quot;€&quot;_ ;_ * &quot;-&quot;??_)\ &quot;€&quot;_ ;_ @_ 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7" formatCode="0.000"/>
    </dxf>
    <dxf>
      <numFmt numFmtId="2" formatCode="0.00"/>
    </dxf>
    <dxf>
      <numFmt numFmtId="166" formatCode="0.0000"/>
    </dxf>
    <dxf>
      <numFmt numFmtId="165" formatCode="0.00000"/>
    </dxf>
    <dxf>
      <numFmt numFmtId="164" formatCode="0.000000"/>
    </dxf>
    <dxf>
      <numFmt numFmtId="172" formatCode="0.0000000"/>
    </dxf>
    <dxf>
      <numFmt numFmtId="168" formatCode="0.0"/>
    </dxf>
    <dxf>
      <numFmt numFmtId="2" formatCode="0.00"/>
    </dxf>
    <dxf>
      <numFmt numFmtId="2" formatCode="0.00"/>
    </dxf>
    <dxf>
      <numFmt numFmtId="167" formatCode="0.000"/>
    </dxf>
    <dxf>
      <numFmt numFmtId="166" formatCode="0.0000"/>
    </dxf>
    <dxf>
      <numFmt numFmtId="165" formatCode="0.00000"/>
    </dxf>
    <dxf>
      <numFmt numFmtId="164" formatCode="0.000000"/>
    </dxf>
    <dxf>
      <numFmt numFmtId="172" formatCode="0.0000000"/>
    </dxf>
    <dxf>
      <numFmt numFmtId="2" formatCode="0.00"/>
    </dxf>
    <dxf>
      <numFmt numFmtId="167" formatCode="0.000"/>
    </dxf>
    <dxf>
      <numFmt numFmtId="2" formatCode="0.00"/>
    </dxf>
    <dxf>
      <numFmt numFmtId="166" formatCode="0.0000"/>
    </dxf>
    <dxf>
      <numFmt numFmtId="165" formatCode="0.00000"/>
    </dxf>
    <dxf>
      <numFmt numFmtId="164" formatCode="0.000000"/>
    </dxf>
    <dxf>
      <numFmt numFmtId="172" formatCode="0.0000000"/>
    </dxf>
    <dxf>
      <numFmt numFmtId="171" formatCode="0.00000000"/>
    </dxf>
    <dxf>
      <numFmt numFmtId="169" formatCode="0.000000000"/>
    </dxf>
    <dxf>
      <numFmt numFmtId="170" formatCode="0.0000000000"/>
    </dxf>
    <dxf>
      <numFmt numFmtId="169" formatCode="0.000000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5599681753033627E-2"/>
          <c:y val="0.26766969562703674"/>
          <c:w val="0.84373401020310612"/>
          <c:h val="0.58688897027186115"/>
        </c:manualLayout>
      </c:layout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7EE-4F75-B2F7-717B00B10DD3}"/>
              </c:ext>
            </c:extLst>
          </c:dPt>
          <c:dPt>
            <c:idx val="1"/>
            <c:bubble3D val="0"/>
            <c:explosion val="33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77EE-4F75-B2F7-717B00B10D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7EE-4F75-B2F7-717B00B10DD3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9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F81B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5-77EE-4F75-B2F7-717B00B10DD3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12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F81B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6-77EE-4F75-B2F7-717B00B10DD3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7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F81B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4-77EE-4F75-B2F7-717B00B10DD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E-4F75-B2F7-717B00B10DD3}"/>
            </c:ext>
          </c:extLst>
        </c:ser>
        <c:ser>
          <c:idx val="1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7EE-4F75-B2F7-717B00B10D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77EE-4F75-B2F7-717B00B10D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7EE-4F75-B2F7-717B00B10D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7EE-4F75-B2F7-717B00B10DD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77EE-4F75-B2F7-717B00B10DD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7EE-4F75-B2F7-717B00B10DD3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E-4F75-B2F7-717B00B10DD3}"/>
            </c:ext>
          </c:extLst>
        </c:ser>
        <c:ser>
          <c:idx val="2"/>
          <c:order val="2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77EE-4F75-B2F7-717B00B10D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7EE-4F75-B2F7-717B00B10D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77EE-4F75-B2F7-717B00B10D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77EE-4F75-B2F7-717B00B10DD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7EE-4F75-B2F7-717B00B10DD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77EE-4F75-B2F7-717B00B10DD3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E-4F75-B2F7-717B00B10DD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</a:t>
            </a:r>
            <a:r>
              <a:rPr lang="en-US" baseline="0"/>
              <a:t> točk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7-488B-B95B-5F05565CB646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7-488B-B95B-5F05565CB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755551"/>
        <c:axId val="1637754303"/>
      </c:barChart>
      <c:catAx>
        <c:axId val="1637755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37754303"/>
        <c:crosses val="autoZero"/>
        <c:auto val="1"/>
        <c:lblAlgn val="ctr"/>
        <c:lblOffset val="100"/>
        <c:noMultiLvlLbl val="0"/>
      </c:catAx>
      <c:valAx>
        <c:axId val="163775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37755551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602240</xdr:colOff>
      <xdr:row>11</xdr:row>
      <xdr:rowOff>187468</xdr:rowOff>
    </xdr:from>
    <xdr:to>
      <xdr:col>10</xdr:col>
      <xdr:colOff>502228</xdr:colOff>
      <xdr:row>20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923C7-AEBE-4700-89F3-03FE7D512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21647</xdr:colOff>
      <xdr:row>21</xdr:row>
      <xdr:rowOff>169717</xdr:rowOff>
    </xdr:from>
    <xdr:to>
      <xdr:col>10</xdr:col>
      <xdr:colOff>519545</xdr:colOff>
      <xdr:row>31</xdr:row>
      <xdr:rowOff>112567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A6116-48C6-4E61-8976-DD2BD4A97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jak, Aljaž" refreshedDate="45999.750084490741" createdVersion="7" refreshedVersion="7" minRefreshableVersion="3" recordCount="28" xr:uid="{91D0A9D7-7930-4002-B9A1-E2CFE4B7BAB4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A"/>
        <s v="B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Tekavčič"/>
    <s v="Aleksander"/>
    <x v="0"/>
    <n v="34"/>
    <s v="ne"/>
  </r>
  <r>
    <s v="Karakaš"/>
    <s v="Alenka"/>
    <x v="0"/>
    <n v="94"/>
    <s v="da"/>
  </r>
  <r>
    <s v="Furlan"/>
    <s v="Aleš"/>
    <x v="1"/>
    <n v="36"/>
    <s v="ne"/>
  </r>
  <r>
    <s v="Kofol"/>
    <s v="Andraž"/>
    <x v="2"/>
    <n v="34"/>
    <s v="ne"/>
  </r>
  <r>
    <s v="Smrekar"/>
    <s v="Andreja"/>
    <x v="0"/>
    <n v="38"/>
    <s v="ne"/>
  </r>
  <r>
    <s v="Kumar"/>
    <s v="Barbara"/>
    <x v="1"/>
    <n v="67"/>
    <s v="da"/>
  </r>
  <r>
    <s v="Kržišnik"/>
    <s v="Grega"/>
    <x v="1"/>
    <n v="90"/>
    <s v="da"/>
  </r>
  <r>
    <s v="Štemberger"/>
    <s v="Igor"/>
    <x v="1"/>
    <n v="85"/>
    <s v="da"/>
  </r>
  <r>
    <s v="Karničar"/>
    <s v="Jaka"/>
    <x v="2"/>
    <n v="26"/>
    <s v="ne"/>
  </r>
  <r>
    <s v="Cvelbar"/>
    <s v="Janja"/>
    <x v="1"/>
    <n v="39"/>
    <s v="ne"/>
  </r>
  <r>
    <s v="Žveglič"/>
    <s v="Katarina"/>
    <x v="0"/>
    <n v="46"/>
    <s v="ne"/>
  </r>
  <r>
    <s v="Jerman"/>
    <s v="Katja"/>
    <x v="1"/>
    <n v="100"/>
    <s v="da"/>
  </r>
  <r>
    <s v="Korošec"/>
    <s v="Kristina"/>
    <x v="1"/>
    <n v="86"/>
    <s v="da"/>
  </r>
  <r>
    <s v="Furlan"/>
    <s v="Luka"/>
    <x v="0"/>
    <n v="93"/>
    <s v="da"/>
  </r>
  <r>
    <s v="Pance"/>
    <s v="Martin"/>
    <x v="1"/>
    <n v="64"/>
    <s v="da"/>
  </r>
  <r>
    <s v="Šubašič"/>
    <s v="Matej"/>
    <x v="2"/>
    <n v="76"/>
    <s v="da"/>
  </r>
  <r>
    <s v="Logar"/>
    <s v="Mateja"/>
    <x v="0"/>
    <n v="42"/>
    <s v="ne"/>
  </r>
  <r>
    <s v="Ribnikar"/>
    <s v="Matjaž"/>
    <x v="0"/>
    <n v="43"/>
    <s v="ne"/>
  </r>
  <r>
    <s v="Tratnik"/>
    <s v="Mojca"/>
    <x v="1"/>
    <n v="79"/>
    <s v="da"/>
  </r>
  <r>
    <s v="Kočar"/>
    <s v="Petra"/>
    <x v="1"/>
    <n v="44"/>
    <s v="ne"/>
  </r>
  <r>
    <s v="Vesel"/>
    <s v="Polona"/>
    <x v="2"/>
    <n v="66"/>
    <s v="da"/>
  </r>
  <r>
    <s v="Puncer"/>
    <s v="Primož"/>
    <x v="0"/>
    <n v="57"/>
    <s v="da"/>
  </r>
  <r>
    <s v="Virant"/>
    <s v="Primož"/>
    <x v="2"/>
    <n v="58"/>
    <s v="da"/>
  </r>
  <r>
    <s v="Iskra"/>
    <s v="Sabina"/>
    <x v="0"/>
    <n v="77"/>
    <s v="da"/>
  </r>
  <r>
    <s v="Obrenović"/>
    <s v="Tatjana"/>
    <x v="2"/>
    <n v="44"/>
    <s v="ne"/>
  </r>
  <r>
    <s v="Bezek"/>
    <s v="Tomaž"/>
    <x v="1"/>
    <n v="38"/>
    <s v="ne"/>
  </r>
  <r>
    <s v="Trček"/>
    <s v="Valerija"/>
    <x v="1"/>
    <n v="70"/>
    <s v="da"/>
  </r>
  <r>
    <s v="Pleterski"/>
    <s v="Vesna"/>
    <x v="2"/>
    <n v="30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82021-121A-447A-B8AA-C0BA0F04190A}" name="PivotTable6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7:L11" firstHeaderRow="0" firstDataRow="1" firstDataCol="1"/>
  <pivotFields count="5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kupina" fld="2" subtotal="count" baseField="0" baseItem="0"/>
    <dataField name="Average of Točke" fld="3" subtotal="average" baseField="2" baseItem="0"/>
    <dataField name="Max of Točke" fld="3" subtotal="max" baseField="2" baseItem="0"/>
    <dataField name="Min of Točke" fld="3" subtotal="min" baseField="2" baseItem="0"/>
  </dataFields>
  <formats count="4">
    <format dxfId="20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5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C2:C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31">
      <calculatedColumnFormula>IF(Rezultati[[#This Row],[Točke]]&lt;50,"ne","da")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30">
      <calculatedColumnFormula>COUNTIF(Rezultati[Skupina],Skupine[[#This Row],[Test]])</calculatedColumnFormula>
    </tableColumn>
    <tableColumn id="3" xr3:uid="{49F9352C-9597-4E44-8122-AF1CE6CE856F}" name="2022" dataDxfId="29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zoomScale="110" zoomScaleNormal="110" workbookViewId="0">
      <selection activeCell="E3" sqref="E3:E30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10" width="16.42578125" bestFit="1" customWidth="1"/>
    <col min="11" max="11" width="12.7109375" bestFit="1" customWidth="1"/>
    <col min="12" max="12" width="12.425781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s="5" t="s">
        <v>56</v>
      </c>
      <c r="C3" t="s">
        <v>57</v>
      </c>
      <c r="D3" t="s">
        <v>9</v>
      </c>
      <c r="E3">
        <v>34</v>
      </c>
      <c r="F3" t="str">
        <f>IF(Rezultati[[#This Row],[Točke]]&lt;50,"ne","da")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10</v>
      </c>
      <c r="C4" t="s">
        <v>11</v>
      </c>
      <c r="D4" t="s">
        <v>9</v>
      </c>
      <c r="E4">
        <v>94</v>
      </c>
      <c r="F4" t="str">
        <f>IF(Rezultati[[#This Row],[Točke]]&lt;50,"ne","da")</f>
        <v>da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Row],[Točke]]&lt;50,"ne","da")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16</v>
      </c>
      <c r="C6" t="s">
        <v>17</v>
      </c>
      <c r="D6" t="s">
        <v>15</v>
      </c>
      <c r="E6">
        <v>34</v>
      </c>
      <c r="F6" t="str">
        <f>IF(Rezultati[[#This Row],[Točke]]&lt;50,"ne","da")</f>
        <v>ne</v>
      </c>
    </row>
    <row r="7" spans="2:12" x14ac:dyDescent="0.25">
      <c r="B7" t="s">
        <v>60</v>
      </c>
      <c r="C7" t="s">
        <v>61</v>
      </c>
      <c r="D7" t="s">
        <v>9</v>
      </c>
      <c r="E7">
        <v>38</v>
      </c>
      <c r="F7" t="str">
        <f>IF(Rezultati[[#This Row],[Točke]]&lt;50,"ne","da")</f>
        <v>ne</v>
      </c>
      <c r="H7" s="2" t="s">
        <v>66</v>
      </c>
      <c r="I7" t="s">
        <v>69</v>
      </c>
      <c r="J7" t="s">
        <v>68</v>
      </c>
      <c r="K7" t="s">
        <v>70</v>
      </c>
      <c r="L7" t="s">
        <v>71</v>
      </c>
    </row>
    <row r="8" spans="2:12" x14ac:dyDescent="0.25">
      <c r="B8" t="s">
        <v>18</v>
      </c>
      <c r="C8" t="s">
        <v>19</v>
      </c>
      <c r="D8" t="s">
        <v>12</v>
      </c>
      <c r="E8">
        <v>67</v>
      </c>
      <c r="F8" t="str">
        <f>IF(Rezultati[[#This Row],[Točke]]&lt;50,"ne","da")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45</v>
      </c>
      <c r="C9" t="s">
        <v>46</v>
      </c>
      <c r="D9" t="s">
        <v>12</v>
      </c>
      <c r="E9">
        <v>90</v>
      </c>
      <c r="F9" t="str">
        <f>IF(Rezultati[[#This Row],[Točke]]&lt;50,"ne","da")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t="s">
        <v>52</v>
      </c>
      <c r="C10" t="s">
        <v>53</v>
      </c>
      <c r="D10" t="s">
        <v>12</v>
      </c>
      <c r="E10">
        <v>85</v>
      </c>
      <c r="F10" t="str">
        <f>IF(Rezultati[[#This Row],[Točke]]&lt;50,"ne","da")</f>
        <v>da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t="s">
        <v>41</v>
      </c>
      <c r="C11" t="s">
        <v>42</v>
      </c>
      <c r="D11" t="s">
        <v>15</v>
      </c>
      <c r="E11">
        <v>26</v>
      </c>
      <c r="F11" t="str">
        <f>IF(Rezultati[[#This Row],[Točke]]&lt;50,"ne","da")</f>
        <v>ne</v>
      </c>
      <c r="H11" s="3" t="s">
        <v>67</v>
      </c>
      <c r="I11" s="4">
        <v>28</v>
      </c>
      <c r="J11" s="1">
        <v>59.142857142857146</v>
      </c>
      <c r="K11" s="4">
        <v>100</v>
      </c>
      <c r="L11" s="4">
        <v>26</v>
      </c>
    </row>
    <row r="12" spans="2:12" x14ac:dyDescent="0.25">
      <c r="B12" t="s">
        <v>34</v>
      </c>
      <c r="C12" t="s">
        <v>35</v>
      </c>
      <c r="D12" t="s">
        <v>12</v>
      </c>
      <c r="E12">
        <v>39</v>
      </c>
      <c r="F12" t="str">
        <f>IF(Rezultati[[#This Row],[Točke]]&lt;50,"ne","da")</f>
        <v>ne</v>
      </c>
    </row>
    <row r="13" spans="2:12" x14ac:dyDescent="0.25">
      <c r="B13" t="s">
        <v>32</v>
      </c>
      <c r="C13" t="s">
        <v>33</v>
      </c>
      <c r="D13" t="s">
        <v>9</v>
      </c>
      <c r="E13">
        <v>46</v>
      </c>
      <c r="F13" t="str">
        <f>IF(Rezultati[[#This Row],[Točke]]&lt;50,"ne","da")</f>
        <v>ne</v>
      </c>
    </row>
    <row r="14" spans="2:12" x14ac:dyDescent="0.25">
      <c r="B14" t="s">
        <v>39</v>
      </c>
      <c r="C14" t="s">
        <v>40</v>
      </c>
      <c r="D14" t="s">
        <v>12</v>
      </c>
      <c r="E14">
        <v>100</v>
      </c>
      <c r="F14" t="str">
        <f>IF(Rezultati[[#This Row],[Točke]]&lt;50,"ne","da")</f>
        <v>da</v>
      </c>
    </row>
    <row r="15" spans="2:12" x14ac:dyDescent="0.25">
      <c r="B15" t="s">
        <v>43</v>
      </c>
      <c r="C15" t="s">
        <v>44</v>
      </c>
      <c r="D15" t="s">
        <v>12</v>
      </c>
      <c r="E15">
        <v>86</v>
      </c>
      <c r="F15" t="str">
        <f>IF(Rezultati[[#This Row],[Točke]]&lt;50,"ne","da")</f>
        <v>da</v>
      </c>
    </row>
    <row r="16" spans="2:12" x14ac:dyDescent="0.25">
      <c r="B16" t="s">
        <v>7</v>
      </c>
      <c r="C16" t="s">
        <v>8</v>
      </c>
      <c r="D16" t="s">
        <v>9</v>
      </c>
      <c r="E16">
        <v>93</v>
      </c>
      <c r="F16" t="str">
        <f>IF(Rezultati[[#This Row],[Točke]]&lt;50,"ne","da")</f>
        <v>da</v>
      </c>
    </row>
    <row r="17" spans="2:6" x14ac:dyDescent="0.25">
      <c r="B17" t="s">
        <v>22</v>
      </c>
      <c r="C17" t="s">
        <v>23</v>
      </c>
      <c r="D17" t="s">
        <v>12</v>
      </c>
      <c r="E17">
        <v>64</v>
      </c>
      <c r="F17" t="str">
        <f>IF(Rezultati[[#This Row],[Točke]]&lt;50,"ne","da")</f>
        <v>da</v>
      </c>
    </row>
    <row r="18" spans="2:6" x14ac:dyDescent="0.25">
      <c r="B18" t="s">
        <v>54</v>
      </c>
      <c r="C18" t="s">
        <v>55</v>
      </c>
      <c r="D18" t="s">
        <v>15</v>
      </c>
      <c r="E18">
        <v>76</v>
      </c>
      <c r="F18" t="str">
        <f>IF(Rezultati[[#This Row],[Točke]]&lt;50,"ne","da")</f>
        <v>da</v>
      </c>
    </row>
    <row r="19" spans="2:6" x14ac:dyDescent="0.25">
      <c r="B19" t="s">
        <v>20</v>
      </c>
      <c r="C19" t="s">
        <v>21</v>
      </c>
      <c r="D19" t="s">
        <v>9</v>
      </c>
      <c r="E19">
        <v>42</v>
      </c>
      <c r="F19" t="str">
        <f>IF(Rezultati[[#This Row],[Točke]]&lt;50,"ne","da")</f>
        <v>ne</v>
      </c>
    </row>
    <row r="20" spans="2:6" x14ac:dyDescent="0.25">
      <c r="B20" t="s">
        <v>50</v>
      </c>
      <c r="C20" t="s">
        <v>51</v>
      </c>
      <c r="D20" t="s">
        <v>9</v>
      </c>
      <c r="E20">
        <v>43</v>
      </c>
      <c r="F20" t="str">
        <f>IF(Rezultati[[#This Row],[Točke]]&lt;50,"ne","da")</f>
        <v>ne</v>
      </c>
    </row>
    <row r="21" spans="2:6" x14ac:dyDescent="0.25">
      <c r="B21" t="s">
        <v>58</v>
      </c>
      <c r="C21" t="s">
        <v>59</v>
      </c>
      <c r="D21" t="s">
        <v>12</v>
      </c>
      <c r="E21">
        <v>79</v>
      </c>
      <c r="F21" t="str">
        <f>IF(Rezultati[[#This Row],[Točke]]&lt;50,"ne","da")</f>
        <v>da</v>
      </c>
    </row>
    <row r="22" spans="2:6" x14ac:dyDescent="0.25">
      <c r="B22" t="s">
        <v>13</v>
      </c>
      <c r="C22" t="s">
        <v>14</v>
      </c>
      <c r="D22" t="s">
        <v>12</v>
      </c>
      <c r="E22">
        <v>44</v>
      </c>
      <c r="F22" t="str">
        <f>IF(Rezultati[[#This Row],[Točke]]&lt;50,"ne","da")</f>
        <v>ne</v>
      </c>
    </row>
    <row r="23" spans="2:6" x14ac:dyDescent="0.25">
      <c r="B23" t="s">
        <v>30</v>
      </c>
      <c r="C23" t="s">
        <v>31</v>
      </c>
      <c r="D23" t="s">
        <v>15</v>
      </c>
      <c r="E23">
        <v>66</v>
      </c>
      <c r="F23" t="str">
        <f>IF(Rezultati[[#This Row],[Točke]]&lt;50,"ne","da")</f>
        <v>da</v>
      </c>
    </row>
    <row r="24" spans="2:6" x14ac:dyDescent="0.25">
      <c r="B24" t="s">
        <v>49</v>
      </c>
      <c r="C24" t="s">
        <v>29</v>
      </c>
      <c r="D24" t="s">
        <v>9</v>
      </c>
      <c r="E24">
        <v>57</v>
      </c>
      <c r="F24" t="str">
        <f>IF(Rezultati[[#This Row],[Točke]]&lt;50,"ne","da")</f>
        <v>da</v>
      </c>
    </row>
    <row r="25" spans="2:6" x14ac:dyDescent="0.25">
      <c r="B25" t="s">
        <v>28</v>
      </c>
      <c r="C25" t="s">
        <v>29</v>
      </c>
      <c r="D25" t="s">
        <v>15</v>
      </c>
      <c r="E25">
        <v>58</v>
      </c>
      <c r="F25" t="str">
        <f>IF(Rezultati[[#This Row],[Točke]]&lt;50,"ne","da")</f>
        <v>da</v>
      </c>
    </row>
    <row r="26" spans="2:6" x14ac:dyDescent="0.25">
      <c r="B26" t="s">
        <v>37</v>
      </c>
      <c r="C26" t="s">
        <v>38</v>
      </c>
      <c r="D26" t="s">
        <v>9</v>
      </c>
      <c r="E26">
        <v>77</v>
      </c>
      <c r="F26" t="str">
        <f>IF(Rezultati[[#This Row],[Točke]]&lt;50,"ne","da")</f>
        <v>da</v>
      </c>
    </row>
    <row r="27" spans="2:6" x14ac:dyDescent="0.25">
      <c r="B27" t="s">
        <v>47</v>
      </c>
      <c r="C27" t="s">
        <v>48</v>
      </c>
      <c r="D27" t="s">
        <v>15</v>
      </c>
      <c r="E27">
        <v>44</v>
      </c>
      <c r="F27" t="str">
        <f>IF(Rezultati[[#This Row],[Točke]]&lt;50,"ne","da")</f>
        <v>ne</v>
      </c>
    </row>
    <row r="28" spans="2:6" x14ac:dyDescent="0.25">
      <c r="B28" t="s">
        <v>62</v>
      </c>
      <c r="C28" t="s">
        <v>63</v>
      </c>
      <c r="D28" t="s">
        <v>12</v>
      </c>
      <c r="E28">
        <v>38</v>
      </c>
      <c r="F28" t="str">
        <f>IF(Rezultati[[#This Row],[Točke]]&lt;50,"ne","da")</f>
        <v>ne</v>
      </c>
    </row>
    <row r="29" spans="2:6" x14ac:dyDescent="0.25">
      <c r="B29" t="s">
        <v>26</v>
      </c>
      <c r="C29" t="s">
        <v>27</v>
      </c>
      <c r="D29" t="s">
        <v>12</v>
      </c>
      <c r="E29">
        <v>70</v>
      </c>
      <c r="F29" t="str">
        <f>IF(Rezultati[[#This Row],[Točke]]&lt;50,"ne","da")</f>
        <v>da</v>
      </c>
    </row>
    <row r="30" spans="2:6" x14ac:dyDescent="0.25">
      <c r="B30" t="s">
        <v>24</v>
      </c>
      <c r="C30" t="s">
        <v>25</v>
      </c>
      <c r="D30" t="s">
        <v>15</v>
      </c>
      <c r="E30">
        <v>30</v>
      </c>
      <c r="F30" t="str">
        <f>IF(Rezultati[[#This Row],[Točke]]&lt;50,"ne","da")</f>
        <v>ne</v>
      </c>
    </row>
  </sheetData>
  <conditionalFormatting sqref="B3:C30">
    <cfRule type="expression" dxfId="1" priority="2">
      <formula>$E3&lt;50</formula>
    </cfRule>
  </conditionalFormatting>
  <conditionalFormatting sqref="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Seljak, Aljaž</cp:lastModifiedBy>
  <dcterms:created xsi:type="dcterms:W3CDTF">2007-11-10T02:36:44Z</dcterms:created>
  <dcterms:modified xsi:type="dcterms:W3CDTF">2025-12-08T17:21:46Z</dcterms:modified>
</cp:coreProperties>
</file>