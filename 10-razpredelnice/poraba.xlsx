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42431\Desktop\racunalniski-praktikum\10-razpredelnice\"/>
    </mc:Choice>
  </mc:AlternateContent>
  <xr:revisionPtr revIDLastSave="0" documentId="13_ncr:1_{AE7B8BA5-692D-4581-8282-577C278863A9}" xr6:coauthVersionLast="47" xr6:coauthVersionMax="47" xr10:uidLastSave="{00000000-0000-0000-0000-000000000000}"/>
  <bookViews>
    <workbookView xWindow="15" yWindow="3885" windowWidth="17730" windowHeight="11295" activeTab="1" xr2:uid="{00000000-000D-0000-FFFF-FFFF00000000}"/>
  </bookViews>
  <sheets>
    <sheet name="Sheet1" sheetId="5" r:id="rId1"/>
    <sheet name="Poraba" sheetId="4" r:id="rId2"/>
  </sheets>
  <definedNames>
    <definedName name="ExternalData_1" localSheetId="1" hidden="1">Poraba!$B$2:$G$21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4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<sst xmlns="http://schemas.openxmlformats.org/spreadsheetml/2006/main" count="21" uniqueCount="21">
  <si>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</si>
  <si>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</si>
  <si>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</si>
  <si>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</si>
  <si>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</si>
  <si>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</si>
  <si>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</si>
  <si>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</si>
  <si>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</si>
  <si>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</si>
  <si>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Grand Total</t>
  </si>
  <si>
    <t>May</t>
  </si>
  <si>
    <t>Jun</t>
  </si>
  <si>
    <t>Jul</t>
  </si>
  <si>
    <t>Aug</t>
  </si>
  <si>
    <t>Sept</t>
  </si>
  <si>
    <t>Oct</t>
  </si>
  <si>
    <t>Column Labels</t>
  </si>
  <si>
    <t>Sum of Poraba</t>
  </si>
  <si>
    <t>Count of Prevoženo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</si>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</sst>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71" formatCode="#,##0.00\ &quot;€&quot;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7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numFmt numFmtId="2" formatCode="0.00"/>
      <fill>
        <patternFill patternType="none">
          <fgColor indexed="64"/>
          <bgColor auto="1"/>
        </patternFill>
      </fill>
    </dxf>
    <dxf>
      <numFmt numFmtId="171" formatCode="#,##0.00\ &quot;€&quot;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ljak, Aljaž" refreshedDate="45999.816077662035" createdVersion="7" refreshedVersion="7" minRefreshableVersion="3" recordCount="19" xr:uid="{06EE0BE0-C332-4CC0-80AA-6B0FD6D8144D}">
  <cacheSource type="worksheet">
    <worksheetSource name="realna_poraba_cupra__2"/>
  </cacheSource>
  <cacheFields count="8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171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 count="19">
        <s v=""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String="0" containsBlank="1" containsNumber="1" minValue="6.3103953147877014" maxValue="8.1008968609865484"/>
    </cacheField>
    <cacheField name="Prikaz" numFmtId="2">
      <sharedItems containsString="0" containsBlank="1" containsNumber="1" minValue="6.3103953147877014" maxValue="8.1008968609865484"/>
    </cacheField>
    <cacheField name="Months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m/>
    <m/>
  </r>
  <r>
    <x v="1"/>
    <n v="43.02"/>
    <n v="59.797800000000002"/>
    <n v="42521"/>
    <x v="1"/>
    <n v="7.006514657980456"/>
    <n v="7.006514657980456"/>
  </r>
  <r>
    <x v="2"/>
    <n v="41.67"/>
    <n v="57.921299999999995"/>
    <n v="43181"/>
    <x v="2"/>
    <n v="6.3136363636363635"/>
    <n v="6.3136363636363635"/>
  </r>
  <r>
    <x v="3"/>
    <n v="34.04"/>
    <n v="47.043279999999996"/>
    <n v="43696"/>
    <x v="3"/>
    <n v="6.6097087378640778"/>
    <n v="6.6097087378640778"/>
  </r>
  <r>
    <x v="4"/>
    <n v="42.42"/>
    <n v="59.897039999999997"/>
    <n v="44314"/>
    <x v="4"/>
    <n v="6.8640776699029127"/>
    <n v="6.8640776699029127"/>
  </r>
  <r>
    <x v="5"/>
    <n v="43.1"/>
    <n v="60.857199999999999"/>
    <n v="44997"/>
    <x v="5"/>
    <n v="6.3103953147877014"/>
    <n v="6.3103953147877014"/>
  </r>
  <r>
    <x v="6"/>
    <n v="38.18"/>
    <n v="54.368319999999997"/>
    <n v="45546"/>
    <x v="6"/>
    <n v="6.9544626593806917"/>
    <n v="6.9544626593806917"/>
  </r>
  <r>
    <x v="7"/>
    <n v="40.659999999999997"/>
    <n v="58.713039999999992"/>
    <n v="46126"/>
    <x v="7"/>
    <n v="7.0103448275862057"/>
    <n v="7.0103448275862057"/>
  </r>
  <r>
    <x v="8"/>
    <n v="39.17"/>
    <n v="56.561480000000003"/>
    <n v="46687"/>
    <x v="8"/>
    <n v="6.9821746880570412"/>
    <n v="6.9821746880570412"/>
  </r>
  <r>
    <x v="9"/>
    <n v="40.29"/>
    <n v="58.662239999999997"/>
    <n v="47250"/>
    <x v="9"/>
    <n v="7.1563055062166967"/>
    <n v="7.1563055062166967"/>
  </r>
  <r>
    <x v="10"/>
    <n v="41.01"/>
    <n v="59.710559999999994"/>
    <n v="47867"/>
    <x v="10"/>
    <n v="6.646677471636953"/>
    <n v="6.646677471636953"/>
  </r>
  <r>
    <x v="11"/>
    <n v="37.18"/>
    <n v="56.178979999999996"/>
    <n v="48407"/>
    <x v="11"/>
    <n v="6.8851851851851853"/>
    <n v="6.8851851851851853"/>
  </r>
  <r>
    <x v="12"/>
    <n v="41.46"/>
    <n v="62.646059999999999"/>
    <n v="49005"/>
    <x v="12"/>
    <n v="6.9331103678929766"/>
    <n v="6.9331103678929766"/>
  </r>
  <r>
    <x v="13"/>
    <n v="35.97"/>
    <n v="55.537680000000002"/>
    <n v="49480"/>
    <x v="13"/>
    <n v="7.5726315789473686"/>
    <n v="7.5726315789473686"/>
  </r>
  <r>
    <x v="14"/>
    <n v="38.74"/>
    <n v="60.085740000000001"/>
    <n v="50012"/>
    <x v="14"/>
    <n v="7.2819548872180455"/>
    <n v="7.2819548872180455"/>
  </r>
  <r>
    <x v="15"/>
    <n v="36.130000000000003"/>
    <n v="56.03763"/>
    <n v="50458"/>
    <x v="15"/>
    <n v="8.1008968609865484"/>
    <n v="8.1008968609865484"/>
  </r>
  <r>
    <x v="16"/>
    <n v="38.51"/>
    <n v="61.153880000000001"/>
    <n v="50991"/>
    <x v="16"/>
    <n v="7.2251407129455911"/>
    <n v="7.2251407129455911"/>
  </r>
  <r>
    <x v="17"/>
    <n v="38.840000000000003"/>
    <n v="61.677920000000007"/>
    <n v="51593"/>
    <x v="17"/>
    <n v="6.4518272425249181"/>
    <n v="6.4518272425249181"/>
  </r>
  <r>
    <x v="18"/>
    <n v="41.73"/>
    <n v="64.097279999999998"/>
    <n v="52176"/>
    <x v="18"/>
    <n v="7.1578044596912518"/>
    <n v="7.15780445969125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1B1F4-DA8B-4D53-99A1-9582F6B3E9C9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20" firstHeaderRow="1" firstDataRow="1" firstDataCol="0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171" showAll="0"/>
    <pivotField numFmtId="3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019C3-5A9A-4793-BE6F-C0539AFE4CE7}" name="PivotTable2" cacheId="4" dataOnRows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3:I26" firstHeaderRow="1" firstDataRow="2" firstDataCol="1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171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7"/>
  </colFields>
  <colItems count="7"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2">
    <dataField name="Count of Prevoženo" fld="4" subtotal="count" baseField="0" baseItem="0"/>
    <dataField name="Sum of Poraba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11"/>
    <tableColumn id="2" xr3:uid="{6DC2697C-FCB3-8A47-945B-8CD05834AA8C}" uniqueName="2" name="Litri" queryTableFieldId="2" dataDxfId="3"/>
    <tableColumn id="3" xr3:uid="{19DBC541-3ADF-4E48-8786-6E42DA219788}" uniqueName="3" name="Plačano" queryTableFieldId="3" dataDxfId="1"/>
    <tableColumn id="4" xr3:uid="{3238A9AD-2FC0-0E49-9EE3-7019C05B366B}" uniqueName="4" name="Števec" queryTableFieldId="4" dataDxfId="2"/>
    <tableColumn id="5" xr3:uid="{E0B5480D-9C8F-CA4C-941D-AE9FDE0CDFDC}" uniqueName="5" name="Prevoženo" queryTableFieldId="5" dataDxfId="10"/>
    <tableColumn id="6" xr3:uid="{1DEAFC6B-8470-6742-BAB3-957B7429D133}" uniqueName="6" name="Poraba" queryTableFieldId="6" dataDxfId="9"/>
    <tableColumn id="11" xr3:uid="{911769A8-5CFE-8245-A64B-38797D90A3B5}" uniqueName="11" name="Prikaz" queryTableFieldId="11" dataDxfId="0">
      <calculatedColumnFormula>100*realna_poraba_cupra__2[[#This Row],[Litri]]/realna_poraba_cupra__2[[#This Row],[Prevoženo]]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8" tableBorderDxfId="7" totalsRowBorderDxfId="6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5"/>
    <tableColumn id="2" xr3:uid="{079EA12A-47EB-F54A-8E37-30D8BCE75150}" name="Bencin" dataDxfId="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95DE-71F5-4289-B6CC-CE8F26BC8884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6"/>
      <c r="B3" s="7"/>
      <c r="C3" s="8"/>
    </row>
    <row r="4" spans="1:3" x14ac:dyDescent="0.25">
      <c r="A4" s="9"/>
      <c r="B4" s="10"/>
      <c r="C4" s="11"/>
    </row>
    <row r="5" spans="1:3" x14ac:dyDescent="0.25">
      <c r="A5" s="9"/>
      <c r="B5" s="10"/>
      <c r="C5" s="11"/>
    </row>
    <row r="6" spans="1:3" x14ac:dyDescent="0.25">
      <c r="A6" s="9"/>
      <c r="B6" s="10"/>
      <c r="C6" s="11"/>
    </row>
    <row r="7" spans="1:3" x14ac:dyDescent="0.25">
      <c r="A7" s="9"/>
      <c r="B7" s="10"/>
      <c r="C7" s="11"/>
    </row>
    <row r="8" spans="1:3" x14ac:dyDescent="0.25">
      <c r="A8" s="9"/>
      <c r="B8" s="10"/>
      <c r="C8" s="11"/>
    </row>
    <row r="9" spans="1:3" x14ac:dyDescent="0.25">
      <c r="A9" s="9"/>
      <c r="B9" s="10"/>
      <c r="C9" s="11"/>
    </row>
    <row r="10" spans="1:3" x14ac:dyDescent="0.25">
      <c r="A10" s="9"/>
      <c r="B10" s="10"/>
      <c r="C10" s="11"/>
    </row>
    <row r="11" spans="1:3" x14ac:dyDescent="0.25">
      <c r="A11" s="9"/>
      <c r="B11" s="10"/>
      <c r="C11" s="11"/>
    </row>
    <row r="12" spans="1:3" x14ac:dyDescent="0.25">
      <c r="A12" s="9"/>
      <c r="B12" s="10"/>
      <c r="C12" s="11"/>
    </row>
    <row r="13" spans="1:3" x14ac:dyDescent="0.25">
      <c r="A13" s="9"/>
      <c r="B13" s="10"/>
      <c r="C13" s="11"/>
    </row>
    <row r="14" spans="1:3" x14ac:dyDescent="0.25">
      <c r="A14" s="9"/>
      <c r="B14" s="10"/>
      <c r="C14" s="11"/>
    </row>
    <row r="15" spans="1:3" x14ac:dyDescent="0.25">
      <c r="A15" s="9"/>
      <c r="B15" s="10"/>
      <c r="C15" s="11"/>
    </row>
    <row r="16" spans="1:3" x14ac:dyDescent="0.25">
      <c r="A16" s="9"/>
      <c r="B16" s="10"/>
      <c r="C16" s="11"/>
    </row>
    <row r="17" spans="1:3" x14ac:dyDescent="0.25">
      <c r="A17" s="9"/>
      <c r="B17" s="10"/>
      <c r="C17" s="11"/>
    </row>
    <row r="18" spans="1:3" x14ac:dyDescent="0.25">
      <c r="A18" s="9"/>
      <c r="B18" s="10"/>
      <c r="C18" s="11"/>
    </row>
    <row r="19" spans="1:3" x14ac:dyDescent="0.25">
      <c r="A19" s="9"/>
      <c r="B19" s="10"/>
      <c r="C19" s="11"/>
    </row>
    <row r="20" spans="1:3" x14ac:dyDescent="0.25">
      <c r="A20" s="12"/>
      <c r="B20" s="13"/>
      <c r="C2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6"/>
  <sheetViews>
    <sheetView tabSelected="1" topLeftCell="A16" zoomScale="120" zoomScaleNormal="120" workbookViewId="0">
      <selection activeCell="B23" sqref="B23"/>
    </sheetView>
  </sheetViews>
  <sheetFormatPr defaultColWidth="11.42578125" defaultRowHeight="15" x14ac:dyDescent="0.25"/>
  <cols>
    <col min="1" max="1" width="3.85546875" customWidth="1"/>
    <col min="2" max="2" width="18.7109375" bestFit="1" customWidth="1"/>
    <col min="3" max="3" width="16.28515625" bestFit="1" customWidth="1"/>
    <col min="4" max="7" width="12.85546875" bestFit="1" customWidth="1"/>
    <col min="8" max="8" width="11.85546875" bestFit="1" customWidth="1"/>
    <col min="9" max="9" width="12.85546875" bestFit="1" customWidth="1"/>
    <col min="10" max="10" width="11.85546875" bestFit="1" customWidth="1"/>
    <col min="11" max="11" width="10.710937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D3" s="5">
        <f>INDEX(Table3[Bencin],MATCH(realna_poraba_cupra__2[[#This Row],[Datum]],Table3[Veljavnost]),1)*realna_poraba_cupra__2[[#This Row],[Litri]]</f>
        <v>58.296720000000001</v>
      </c>
      <c r="E3" s="2">
        <v>41907</v>
      </c>
      <c r="F3" t="s">
        <v>4</v>
      </c>
      <c r="H3" s="3"/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D4" s="5">
        <f>INDEX(Table3[Bencin],MATCH(realna_poraba_cupra__2[[#This Row],[Datum]],Table3[Veljavnost]),1)*realna_poraba_cupra__2[[#This Row],[Litri]]</f>
        <v>59.797800000000002</v>
      </c>
      <c r="E4" s="2">
        <v>42521</v>
      </c>
      <c r="F4" s="2">
        <f>realna_poraba_cupra__2[[#This Row],[Števec]]-E3</f>
        <v>614</v>
      </c>
      <c r="G4" s="3">
        <f>100*realna_poraba_cupra__2[[#This Row],[Litri]]/realna_poraba_cupra__2[[#This Row],[Prevoženo]]</f>
        <v>7.006514657980456</v>
      </c>
      <c r="H4" s="3">
        <f>100*realna_poraba_cupra__2[[#This Row],[Litri]]/realna_poraba_cupra__2[[#This Row],[Prevoženo]]</f>
        <v>7.006514657980456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D5" s="5">
        <f>INDEX(Table3[Bencin],MATCH(realna_poraba_cupra__2[[#This Row],[Datum]],Table3[Veljavnost]),1)*realna_poraba_cupra__2[[#This Row],[Litri]]</f>
        <v>57.921299999999995</v>
      </c>
      <c r="E5" s="2">
        <v>43181</v>
      </c>
      <c r="F5" s="2">
        <f>realna_poraba_cupra__2[[#This Row],[Števec]]-E4</f>
        <v>660</v>
      </c>
      <c r="G5" s="3">
        <f>100*realna_poraba_cupra__2[[#This Row],[Litri]]/realna_poraba_cupra__2[[#This Row],[Prevoženo]]</f>
        <v>6.3136363636363635</v>
      </c>
      <c r="H5" s="3">
        <f>100*realna_poraba_cupra__2[[#This Row],[Litri]]/realna_poraba_cupra__2[[#This Row],[Prevoženo]]</f>
        <v>6.3136363636363635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D6" s="5">
        <f>INDEX(Table3[Bencin],MATCH(realna_poraba_cupra__2[[#This Row],[Datum]],Table3[Veljavnost]),1)*realna_poraba_cupra__2[[#This Row],[Litri]]</f>
        <v>47.043279999999996</v>
      </c>
      <c r="E6" s="2">
        <v>43696</v>
      </c>
      <c r="F6" s="2">
        <f>realna_poraba_cupra__2[[#This Row],[Števec]]-E5</f>
        <v>515</v>
      </c>
      <c r="G6" s="3">
        <f>100*realna_poraba_cupra__2[[#This Row],[Litri]]/realna_poraba_cupra__2[[#This Row],[Prevoženo]]</f>
        <v>6.6097087378640778</v>
      </c>
      <c r="H6" s="3">
        <f>100*realna_poraba_cupra__2[[#This Row],[Litri]]/realna_poraba_cupra__2[[#This Row],[Prevoženo]]</f>
        <v>6.6097087378640778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D7" s="5">
        <f>INDEX(Table3[Bencin],MATCH(realna_poraba_cupra__2[[#This Row],[Datum]],Table3[Veljavnost]),1)*realna_poraba_cupra__2[[#This Row],[Litri]]</f>
        <v>59.897039999999997</v>
      </c>
      <c r="E7" s="2">
        <v>44314</v>
      </c>
      <c r="F7" s="2">
        <f>realna_poraba_cupra__2[[#This Row],[Števec]]-E6</f>
        <v>618</v>
      </c>
      <c r="G7" s="3">
        <f>100*realna_poraba_cupra__2[[#This Row],[Litri]]/realna_poraba_cupra__2[[#This Row],[Prevoženo]]</f>
        <v>6.8640776699029127</v>
      </c>
      <c r="H7" s="3">
        <f>100*realna_poraba_cupra__2[[#This Row],[Litri]]/realna_poraba_cupra__2[[#This Row],[Prevoženo]]</f>
        <v>6.8640776699029127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D8" s="5">
        <f>INDEX(Table3[Bencin],MATCH(realna_poraba_cupra__2[[#This Row],[Datum]],Table3[Veljavnost]),1)*realna_poraba_cupra__2[[#This Row],[Litri]]</f>
        <v>60.857199999999999</v>
      </c>
      <c r="E8" s="2">
        <v>44997</v>
      </c>
      <c r="F8" s="2">
        <f>realna_poraba_cupra__2[[#This Row],[Števec]]-E7</f>
        <v>683</v>
      </c>
      <c r="G8" s="3">
        <f>100*realna_poraba_cupra__2[[#This Row],[Litri]]/realna_poraba_cupra__2[[#This Row],[Prevoženo]]</f>
        <v>6.3103953147877014</v>
      </c>
      <c r="H8" s="3">
        <f>100*realna_poraba_cupra__2[[#This Row],[Litri]]/realna_poraba_cupra__2[[#This Row],[Prevoženo]]</f>
        <v>6.3103953147877014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D9" s="5">
        <f>INDEX(Table3[Bencin],MATCH(realna_poraba_cupra__2[[#This Row],[Datum]],Table3[Veljavnost]),1)*realna_poraba_cupra__2[[#This Row],[Litri]]</f>
        <v>54.368319999999997</v>
      </c>
      <c r="E9" s="2">
        <v>45546</v>
      </c>
      <c r="F9" s="2">
        <f>realna_poraba_cupra__2[[#This Row],[Števec]]-E8</f>
        <v>549</v>
      </c>
      <c r="G9" s="3">
        <f>100*realna_poraba_cupra__2[[#This Row],[Litri]]/realna_poraba_cupra__2[[#This Row],[Prevoženo]]</f>
        <v>6.9544626593806917</v>
      </c>
      <c r="H9" s="3">
        <f>100*realna_poraba_cupra__2[[#This Row],[Litri]]/realna_poraba_cupra__2[[#This Row],[Prevoženo]]</f>
        <v>6.9544626593806917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D10" s="5">
        <f>INDEX(Table3[Bencin],MATCH(realna_poraba_cupra__2[[#This Row],[Datum]],Table3[Veljavnost]),1)*realna_poraba_cupra__2[[#This Row],[Litri]]</f>
        <v>58.713039999999992</v>
      </c>
      <c r="E10" s="2">
        <v>46126</v>
      </c>
      <c r="F10" s="2">
        <f>realna_poraba_cupra__2[[#This Row],[Števec]]-E9</f>
        <v>580</v>
      </c>
      <c r="G10" s="3">
        <f>100*realna_poraba_cupra__2[[#This Row],[Litri]]/realna_poraba_cupra__2[[#This Row],[Prevoženo]]</f>
        <v>7.0103448275862057</v>
      </c>
      <c r="H10" s="3">
        <f>100*realna_poraba_cupra__2[[#This Row],[Litri]]/realna_poraba_cupra__2[[#This Row],[Prevoženo]]</f>
        <v>7.0103448275862057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D11" s="5">
        <f>INDEX(Table3[Bencin],MATCH(realna_poraba_cupra__2[[#This Row],[Datum]],Table3[Veljavnost]),1)*realna_poraba_cupra__2[[#This Row],[Litri]]</f>
        <v>56.561480000000003</v>
      </c>
      <c r="E11" s="2">
        <v>46687</v>
      </c>
      <c r="F11" s="2">
        <f>realna_poraba_cupra__2[[#This Row],[Števec]]-E10</f>
        <v>561</v>
      </c>
      <c r="G11" s="3">
        <f>100*realna_poraba_cupra__2[[#This Row],[Litri]]/realna_poraba_cupra__2[[#This Row],[Prevoženo]]</f>
        <v>6.9821746880570412</v>
      </c>
      <c r="H11" s="3">
        <f>100*realna_poraba_cupra__2[[#This Row],[Litri]]/realna_poraba_cupra__2[[#This Row],[Prevoženo]]</f>
        <v>6.9821746880570412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D12" s="5">
        <f>INDEX(Table3[Bencin],MATCH(realna_poraba_cupra__2[[#This Row],[Datum]],Table3[Veljavnost]),1)*realna_poraba_cupra__2[[#This Row],[Litri]]</f>
        <v>58.662239999999997</v>
      </c>
      <c r="E12" s="2">
        <v>47250</v>
      </c>
      <c r="F12" s="2">
        <f>realna_poraba_cupra__2[[#This Row],[Števec]]-E11</f>
        <v>563</v>
      </c>
      <c r="G12" s="3">
        <f>100*realna_poraba_cupra__2[[#This Row],[Litri]]/realna_poraba_cupra__2[[#This Row],[Prevoženo]]</f>
        <v>7.1563055062166967</v>
      </c>
      <c r="H12" s="3">
        <f>100*realna_poraba_cupra__2[[#This Row],[Litri]]/realna_poraba_cupra__2[[#This Row],[Prevoženo]]</f>
        <v>7.1563055062166967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D13" s="5">
        <f>INDEX(Table3[Bencin],MATCH(realna_poraba_cupra__2[[#This Row],[Datum]],Table3[Veljavnost]),1)*realna_poraba_cupra__2[[#This Row],[Litri]]</f>
        <v>59.710559999999994</v>
      </c>
      <c r="E13" s="2">
        <v>47867</v>
      </c>
      <c r="F13" s="2">
        <f>realna_poraba_cupra__2[[#This Row],[Števec]]-E12</f>
        <v>617</v>
      </c>
      <c r="G13" s="3">
        <f>100*realna_poraba_cupra__2[[#This Row],[Litri]]/realna_poraba_cupra__2[[#This Row],[Prevoženo]]</f>
        <v>6.646677471636953</v>
      </c>
      <c r="H13" s="3">
        <f>100*realna_poraba_cupra__2[[#This Row],[Litri]]/realna_poraba_cupra__2[[#This Row],[Prevoženo]]</f>
        <v>6.646677471636953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D14" s="5">
        <f>INDEX(Table3[Bencin],MATCH(realna_poraba_cupra__2[[#This Row],[Datum]],Table3[Veljavnost]),1)*realna_poraba_cupra__2[[#This Row],[Litri]]</f>
        <v>56.178979999999996</v>
      </c>
      <c r="E14" s="2">
        <v>48407</v>
      </c>
      <c r="F14" s="2">
        <f>realna_poraba_cupra__2[[#This Row],[Števec]]-E13</f>
        <v>540</v>
      </c>
      <c r="G14" s="3">
        <f>100*realna_poraba_cupra__2[[#This Row],[Litri]]/realna_poraba_cupra__2[[#This Row],[Prevoženo]]</f>
        <v>6.8851851851851853</v>
      </c>
      <c r="H14" s="3">
        <f>100*realna_poraba_cupra__2[[#This Row],[Litri]]/realna_poraba_cupra__2[[#This Row],[Prevoženo]]</f>
        <v>6.8851851851851853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D15" s="5">
        <f>INDEX(Table3[Bencin],MATCH(realna_poraba_cupra__2[[#This Row],[Datum]],Table3[Veljavnost]),1)*realna_poraba_cupra__2[[#This Row],[Litri]]</f>
        <v>62.646059999999999</v>
      </c>
      <c r="E15" s="2">
        <v>49005</v>
      </c>
      <c r="F15" s="2">
        <f>realna_poraba_cupra__2[[#This Row],[Števec]]-E14</f>
        <v>598</v>
      </c>
      <c r="G15" s="3">
        <f>100*realna_poraba_cupra__2[[#This Row],[Litri]]/realna_poraba_cupra__2[[#This Row],[Prevoženo]]</f>
        <v>6.9331103678929766</v>
      </c>
      <c r="H15" s="3">
        <f>100*realna_poraba_cupra__2[[#This Row],[Litri]]/realna_poraba_cupra__2[[#This Row],[Prevoženo]]</f>
        <v>6.9331103678929766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D16" s="5">
        <f>INDEX(Table3[Bencin],MATCH(realna_poraba_cupra__2[[#This Row],[Datum]],Table3[Veljavnost]),1)*realna_poraba_cupra__2[[#This Row],[Litri]]</f>
        <v>55.537680000000002</v>
      </c>
      <c r="E16" s="2">
        <v>49480</v>
      </c>
      <c r="F16" s="2">
        <f>realna_poraba_cupra__2[[#This Row],[Števec]]-E15</f>
        <v>475</v>
      </c>
      <c r="G16" s="3">
        <f>100*realna_poraba_cupra__2[[#This Row],[Litri]]/realna_poraba_cupra__2[[#This Row],[Prevoženo]]</f>
        <v>7.5726315789473686</v>
      </c>
      <c r="H16" s="3">
        <f>100*realna_poraba_cupra__2[[#This Row],[Litri]]/realna_poraba_cupra__2[[#This Row],[Prevoženo]]</f>
        <v>7.5726315789473686</v>
      </c>
      <c r="J16" s="1">
        <v>45111</v>
      </c>
      <c r="K16" s="4">
        <v>1.444</v>
      </c>
    </row>
    <row r="17" spans="2:11" x14ac:dyDescent="0.25">
      <c r="B17" s="1">
        <v>45184</v>
      </c>
      <c r="C17" s="3">
        <v>38.74</v>
      </c>
      <c r="D17" s="5">
        <f>INDEX(Table3[Bencin],MATCH(realna_poraba_cupra__2[[#This Row],[Datum]],Table3[Veljavnost]),1)*realna_poraba_cupra__2[[#This Row],[Litri]]</f>
        <v>60.085740000000001</v>
      </c>
      <c r="E17" s="2">
        <v>50012</v>
      </c>
      <c r="F17" s="2">
        <f>realna_poraba_cupra__2[[#This Row],[Števec]]-E16</f>
        <v>532</v>
      </c>
      <c r="G17" s="3">
        <f>100*realna_poraba_cupra__2[[#This Row],[Litri]]/realna_poraba_cupra__2[[#This Row],[Prevoženo]]</f>
        <v>7.2819548872180455</v>
      </c>
      <c r="H17" s="3">
        <f>100*realna_poraba_cupra__2[[#This Row],[Litri]]/realna_poraba_cupra__2[[#This Row],[Prevoženo]]</f>
        <v>7.2819548872180455</v>
      </c>
      <c r="J17" s="1">
        <v>45125</v>
      </c>
      <c r="K17" s="4">
        <v>1.456</v>
      </c>
    </row>
    <row r="18" spans="2:11" x14ac:dyDescent="0.25">
      <c r="B18" s="1">
        <v>45191</v>
      </c>
      <c r="C18" s="3">
        <v>36.130000000000003</v>
      </c>
      <c r="D18" s="5">
        <f>INDEX(Table3[Bencin],MATCH(realna_poraba_cupra__2[[#This Row],[Datum]],Table3[Veljavnost]),1)*realna_poraba_cupra__2[[#This Row],[Litri]]</f>
        <v>56.03763</v>
      </c>
      <c r="E18" s="2">
        <v>50458</v>
      </c>
      <c r="F18" s="2">
        <f>realna_poraba_cupra__2[[#This Row],[Števec]]-E17</f>
        <v>446</v>
      </c>
      <c r="G18" s="3">
        <f>100*realna_poraba_cupra__2[[#This Row],[Litri]]/realna_poraba_cupra__2[[#This Row],[Prevoženo]]</f>
        <v>8.1008968609865484</v>
      </c>
      <c r="H18" s="3">
        <f>100*realna_poraba_cupra__2[[#This Row],[Litri]]/realna_poraba_cupra__2[[#This Row],[Prevoženo]]</f>
        <v>8.1008968609865484</v>
      </c>
      <c r="J18" s="1">
        <v>45139</v>
      </c>
      <c r="K18" s="4">
        <v>1.5109999999999999</v>
      </c>
    </row>
    <row r="19" spans="2:11" x14ac:dyDescent="0.25">
      <c r="B19" s="1">
        <v>45198</v>
      </c>
      <c r="C19" s="3">
        <v>38.51</v>
      </c>
      <c r="D19" s="5">
        <f>INDEX(Table3[Bencin],MATCH(realna_poraba_cupra__2[[#This Row],[Datum]],Table3[Veljavnost]),1)*realna_poraba_cupra__2[[#This Row],[Litri]]</f>
        <v>61.153880000000001</v>
      </c>
      <c r="E19" s="2">
        <v>50991</v>
      </c>
      <c r="F19" s="2">
        <f>realna_poraba_cupra__2[[#This Row],[Števec]]-E18</f>
        <v>533</v>
      </c>
      <c r="G19" s="3">
        <f>100*realna_poraba_cupra__2[[#This Row],[Litri]]/realna_poraba_cupra__2[[#This Row],[Prevoženo]]</f>
        <v>7.2251407129455911</v>
      </c>
      <c r="H19" s="3">
        <f>100*realna_poraba_cupra__2[[#This Row],[Litri]]/realna_poraba_cupra__2[[#This Row],[Prevoženo]]</f>
        <v>7.2251407129455911</v>
      </c>
      <c r="J19" s="1">
        <v>45155</v>
      </c>
      <c r="K19" s="4">
        <v>1.5109999999999999</v>
      </c>
    </row>
    <row r="20" spans="2:11" x14ac:dyDescent="0.25">
      <c r="B20" s="1">
        <v>45205</v>
      </c>
      <c r="C20" s="3">
        <v>38.840000000000003</v>
      </c>
      <c r="D20" s="5">
        <f>INDEX(Table3[Bencin],MATCH(realna_poraba_cupra__2[[#This Row],[Datum]],Table3[Veljavnost]),1)*realna_poraba_cupra__2[[#This Row],[Litri]]</f>
        <v>61.677920000000007</v>
      </c>
      <c r="E20" s="2">
        <v>51593</v>
      </c>
      <c r="F20" s="2">
        <f>realna_poraba_cupra__2[[#This Row],[Števec]]-E19</f>
        <v>602</v>
      </c>
      <c r="G20" s="3">
        <f>100*realna_poraba_cupra__2[[#This Row],[Litri]]/realna_poraba_cupra__2[[#This Row],[Prevoženo]]</f>
        <v>6.4518272425249181</v>
      </c>
      <c r="H20" s="3">
        <f>100*realna_poraba_cupra__2[[#This Row],[Litri]]/realna_poraba_cupra__2[[#This Row],[Prevoženo]]</f>
        <v>6.4518272425249181</v>
      </c>
      <c r="J20" s="1">
        <v>45167</v>
      </c>
      <c r="K20" s="4">
        <v>1.544</v>
      </c>
    </row>
    <row r="21" spans="2:11" x14ac:dyDescent="0.25">
      <c r="B21" s="1">
        <v>45213</v>
      </c>
      <c r="C21" s="3">
        <v>41.73</v>
      </c>
      <c r="D21" s="5">
        <f>INDEX(Table3[Bencin],MATCH(realna_poraba_cupra__2[[#This Row],[Datum]],Table3[Veljavnost]),1)*realna_poraba_cupra__2[[#This Row],[Litri]]</f>
        <v>64.097279999999998</v>
      </c>
      <c r="E21" s="2">
        <v>52176</v>
      </c>
      <c r="F21" s="2">
        <f>realna_poraba_cupra__2[[#This Row],[Števec]]-E20</f>
        <v>583</v>
      </c>
      <c r="G21" s="3">
        <f>100*realna_poraba_cupra__2[[#This Row],[Litri]]/realna_poraba_cupra__2[[#This Row],[Prevoženo]]</f>
        <v>7.1578044596912518</v>
      </c>
      <c r="H21" s="3">
        <f>100*realna_poraba_cupra__2[[#This Row],[Litri]]/realna_poraba_cupra__2[[#This Row],[Prevoženo]]</f>
        <v>7.1578044596912518</v>
      </c>
      <c r="J21" s="1">
        <v>45181</v>
      </c>
      <c r="K21" s="4">
        <v>1.5509999999999999</v>
      </c>
    </row>
    <row r="22" spans="2:11" x14ac:dyDescent="0.25">
      <c r="J22" s="1">
        <v>45195</v>
      </c>
      <c r="K22" s="4">
        <v>1.5880000000000001</v>
      </c>
    </row>
    <row r="23" spans="2:11" x14ac:dyDescent="0.25">
      <c r="C23" s="15" t="s">
        <v>17</v>
      </c>
      <c r="J23" s="1">
        <v>45209</v>
      </c>
      <c r="K23" s="4">
        <v>1.536</v>
      </c>
    </row>
    <row r="24" spans="2:11" x14ac:dyDescent="0.25">
      <c r="B24" s="15" t="s">
        <v>20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10</v>
      </c>
      <c r="J24" s="1">
        <v>45223</v>
      </c>
      <c r="K24" s="4">
        <v>1.536</v>
      </c>
    </row>
    <row r="25" spans="2:11" x14ac:dyDescent="0.25">
      <c r="B25" s="16" t="s">
        <v>19</v>
      </c>
      <c r="C25" s="17">
        <v>4</v>
      </c>
      <c r="D25" s="17">
        <v>3</v>
      </c>
      <c r="E25" s="17">
        <v>4</v>
      </c>
      <c r="F25" s="17">
        <v>2</v>
      </c>
      <c r="G25" s="17">
        <v>4</v>
      </c>
      <c r="H25" s="17">
        <v>2</v>
      </c>
      <c r="I25" s="17">
        <v>19</v>
      </c>
      <c r="J25" s="1">
        <v>45237</v>
      </c>
      <c r="K25" s="4">
        <v>1.534</v>
      </c>
    </row>
    <row r="26" spans="2:11" x14ac:dyDescent="0.25">
      <c r="B26" s="16" t="s">
        <v>18</v>
      </c>
      <c r="C26" s="17">
        <v>19.929859759480898</v>
      </c>
      <c r="D26" s="17">
        <v>20.128935644071305</v>
      </c>
      <c r="E26" s="17">
        <v>27.795502493496894</v>
      </c>
      <c r="F26" s="17">
        <v>13.818295553078162</v>
      </c>
      <c r="G26" s="17">
        <v>30.180624040097555</v>
      </c>
      <c r="H26" s="17">
        <v>13.60963170221617</v>
      </c>
      <c r="I26" s="17">
        <v>125.46284919244098</v>
      </c>
    </row>
  </sheetData>
  <conditionalFormatting sqref="H4:H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{209B1B5B-590B-47AB-9EFD-47E044EF6FF4}</x14:id>
        </ext>
      </extLst>
    </cfRule>
  </conditionalFormatting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{55E3258E-03D4-4EAB-A145-9A25EABB0A0D}</x14:id>
        </ext>
      </extLst>
    </cfRule>
  </conditionalFormatting>
  <pageMargins left="0.7" right="0.7" top="0.75" bottom="0.75" header="0.3" footer="0.3"/>
  <pageSetup paperSize="9" orientation="portrait" verticalDpi="0"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9B1B5B-590B-47AB-9EFD-47E044EF6FF4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55E3258E-03D4-4EAB-A145-9A25EABB0A0D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Seljak, Aljaž</cp:lastModifiedBy>
  <dcterms:created xsi:type="dcterms:W3CDTF">2007-10-01T06:54:22Z</dcterms:created>
  <dcterms:modified xsi:type="dcterms:W3CDTF">2025-12-08T18:38:40Z</dcterms:modified>
</cp:coreProperties>
</file>